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" sheetId="1" r:id="rId5"/>
    <sheet state="visible" name="Справка" sheetId="2" r:id="rId6"/>
  </sheets>
  <definedNames>
    <definedName hidden="1" localSheetId="0" name="_xlnm._FilterDatabase">'Таблица'!$C$2:$K$8</definedName>
  </definedNames>
  <calcPr/>
</workbook>
</file>

<file path=xl/sharedStrings.xml><?xml version="1.0" encoding="utf-8"?>
<sst xmlns="http://schemas.openxmlformats.org/spreadsheetml/2006/main" count="19" uniqueCount="17">
  <si>
    <t>Место</t>
  </si>
  <si>
    <t>Пилот</t>
  </si>
  <si>
    <t>Очки</t>
  </si>
  <si>
    <t>Retree</t>
  </si>
  <si>
    <t>Руля</t>
  </si>
  <si>
    <t>Лютый</t>
  </si>
  <si>
    <t>2ПК</t>
  </si>
  <si>
    <t>Вайлист</t>
  </si>
  <si>
    <t>3П</t>
  </si>
  <si>
    <t>Брикс</t>
  </si>
  <si>
    <t>4К</t>
  </si>
  <si>
    <t>Козак</t>
  </si>
  <si>
    <t>DSQ</t>
  </si>
  <si>
    <t>DNF</t>
  </si>
  <si>
    <t>DNS</t>
  </si>
  <si>
    <t>П</t>
  </si>
  <si>
    <t>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</si>
</sst>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6.25"/>
    <col customWidth="1" min="4" max="4" width="8.63"/>
    <col customWidth="1" min="5" max="5" width="7.88"/>
    <col customWidth="1" min="6" max="6" width="7.75"/>
    <col customWidth="1" min="7" max="7" width="6.38"/>
    <col customWidth="1" min="8" max="8" width="7.0"/>
    <col customWidth="1" min="9" max="9" width="6.25"/>
    <col customWidth="1" min="10" max="10" width="5.88"/>
    <col customWidth="1" min="11" max="11" width="8.5"/>
  </cols>
  <sheetData>
    <row r="1" ht="1.5" customHeight="1">
      <c r="D1" s="1" t="str">
        <f>IMAGE("https://flagcdn.com" &amp; LOWER(D2) &amp; ".png")
</f>
        <v/>
      </c>
    </row>
    <row r="2" ht="14.25" customHeight="1">
      <c r="B2" s="2" t="s">
        <v>0</v>
      </c>
      <c r="C2" s="3" t="s">
        <v>1</v>
      </c>
      <c r="D2" s="4" t="str">
        <f>IMAGE("https://flagcdn.com/16x12/it.png")</f>
        <v/>
      </c>
      <c r="E2" s="5" t="str">
        <f>IMAGE("https://flagcdn.com/16x12/be.png")</f>
        <v/>
      </c>
      <c r="K2" s="3" t="s">
        <v>2</v>
      </c>
    </row>
    <row r="3">
      <c r="B3" s="6">
        <v>1.0</v>
      </c>
      <c r="C3" s="3" t="s">
        <v>3</v>
      </c>
      <c r="D3" s="3">
        <v>1.0</v>
      </c>
      <c r="E3" s="3">
        <v>5.0</v>
      </c>
      <c r="F3" s="3"/>
      <c r="G3" s="3"/>
      <c r="H3" s="3"/>
      <c r="I3" s="3"/>
      <c r="J3" s="3"/>
      <c r="K3" s="1">
        <f>IFERROR(__xludf.DUMMYFUNCTION("SUM(ARRAYFORMULA(IFERROR(VLOOKUP(VALUE(REGEXEXTRACT(D3:J3&amp;"""", ""\d+"")), 'Справка'!$A$1:$B$13, 2, FALSE), IFERROR(VLOOKUP(D3:J3, 'Справка'!$A$1:$B$13, 2, FALSE), 0)))) + SUM(ARRAYFORMULA(IF(ISERR(SEARCH(""П"", D3:J3)), 0, 'Справка'!$B$14))) + SUM(ARRAYF"&amp;"ORMULA(IF(ISERR(SEARCH(""К"", D3:J3)), 0, 'Справка'!$B$15)))"),35.0)</f>
        <v>35</v>
      </c>
    </row>
    <row r="4">
      <c r="B4" s="6">
        <v>2.0</v>
      </c>
      <c r="C4" s="3" t="s">
        <v>4</v>
      </c>
      <c r="D4" s="3">
        <v>5.0</v>
      </c>
      <c r="E4" s="3">
        <v>1.0</v>
      </c>
      <c r="F4" s="3"/>
      <c r="G4" s="3"/>
      <c r="H4" s="3"/>
      <c r="I4" s="3"/>
      <c r="J4" s="3"/>
      <c r="K4" s="1">
        <f>IFERROR(__xludf.DUMMYFUNCTION("SUM(ARRAYFORMULA(IFERROR(VLOOKUP(VALUE(REGEXEXTRACT(D4:J4&amp;"""", ""\d+"")), 'Справка'!$A$1:$B$13, 2, FALSE), IFERROR(VLOOKUP(D4:J4, 'Справка'!$A$1:$B$13, 2, FALSE), 0)))) + SUM(ARRAYFORMULA(IF(ISERR(SEARCH(""П"", D4:J4)), 0, 'Справка'!$B$14))) + SUM(ARRAYF"&amp;"ORMULA(IF(ISERR(SEARCH(""К"", D4:J4)), 0, 'Справка'!$B$15)))"),35.0)</f>
        <v>35</v>
      </c>
    </row>
    <row r="5">
      <c r="B5" s="6">
        <v>3.0</v>
      </c>
      <c r="C5" s="3" t="s">
        <v>5</v>
      </c>
      <c r="D5" s="3" t="s">
        <v>6</v>
      </c>
      <c r="E5" s="3">
        <v>4.0</v>
      </c>
      <c r="F5" s="3"/>
      <c r="G5" s="3"/>
      <c r="H5" s="3"/>
      <c r="I5" s="3"/>
      <c r="J5" s="3"/>
      <c r="K5" s="1">
        <f>IFERROR(__xludf.DUMMYFUNCTION("SUM(ARRAYFORMULA(IFERROR(VLOOKUP(VALUE(REGEXEXTRACT(D5:J5&amp;"""", ""\d+"")), 'Справка'!$A$1:$B$13, 2, FALSE), IFERROR(VLOOKUP(D5:J5, 'Справка'!$A$1:$B$13, 2, FALSE), 0)))) + SUM(ARRAYFORMULA(IF(ISERR(SEARCH(""П"", D5:J5)), 0, 'Справка'!$B$14))) + SUM(ARRAYF"&amp;"ORMULA(IF(ISERR(SEARCH(""К"", D5:J5)), 0, 'Справка'!$B$15)))"),32.0)</f>
        <v>32</v>
      </c>
    </row>
    <row r="6">
      <c r="B6" s="6">
        <v>4.0</v>
      </c>
      <c r="C6" s="3" t="s">
        <v>7</v>
      </c>
      <c r="D6" s="3">
        <v>3.0</v>
      </c>
      <c r="E6" s="3" t="s">
        <v>8</v>
      </c>
      <c r="F6" s="3"/>
      <c r="G6" s="3"/>
      <c r="H6" s="3"/>
      <c r="I6" s="3"/>
      <c r="J6" s="3"/>
      <c r="K6" s="1">
        <f>IFERROR(__xludf.DUMMYFUNCTION("SUM(ARRAYFORMULA(IFERROR(VLOOKUP(VALUE(REGEXEXTRACT(D6:J6&amp;"""", ""\d+"")), 'Справка'!$A$1:$B$13, 2, FALSE), IFERROR(VLOOKUP(D6:J6, 'Справка'!$A$1:$B$13, 2, FALSE), 0)))) + SUM(ARRAYFORMULA(IF(ISERR(SEARCH(""П"", D6:J6)), 0, 'Справка'!$B$14))) + SUM(ARRAYF"&amp;"ORMULA(IF(ISERR(SEARCH(""К"", D6:J6)), 0, 'Справка'!$B$15)))"),31.0)</f>
        <v>31</v>
      </c>
    </row>
    <row r="7">
      <c r="B7" s="6">
        <v>5.0</v>
      </c>
      <c r="C7" s="3" t="s">
        <v>9</v>
      </c>
      <c r="D7" s="3" t="s">
        <v>10</v>
      </c>
      <c r="E7" s="3">
        <v>2.0</v>
      </c>
      <c r="F7" s="3"/>
      <c r="G7" s="3"/>
      <c r="H7" s="3"/>
      <c r="I7" s="3"/>
      <c r="J7" s="3"/>
      <c r="K7" s="1">
        <f>IFERROR(__xludf.DUMMYFUNCTION("SUM(ARRAYFORMULA(IFERROR(VLOOKUP(VALUE(REGEXEXTRACT(D7:J7&amp;"""", ""\d+"")), 'Справка'!$A$1:$B$13, 2, FALSE), IFERROR(VLOOKUP(D7:J7, 'Справка'!$A$1:$B$13, 2, FALSE), 0)))) + SUM(ARRAYFORMULA(IF(ISERR(SEARCH(""П"", D7:J7)), 0, 'Справка'!$B$14))) + SUM(ARRAYF"&amp;"ORMULA(IF(ISERR(SEARCH(""К"", D7:J7)), 0, 'Справка'!$B$15)))"),31.0)</f>
        <v>31</v>
      </c>
    </row>
    <row r="8">
      <c r="B8" s="7">
        <v>6.0</v>
      </c>
      <c r="C8" s="3" t="s">
        <v>11</v>
      </c>
      <c r="D8" s="3" t="s">
        <v>12</v>
      </c>
      <c r="E8" s="3" t="s">
        <v>13</v>
      </c>
      <c r="F8" s="3"/>
      <c r="G8" s="3"/>
      <c r="H8" s="3"/>
      <c r="I8" s="3"/>
      <c r="J8" s="3"/>
      <c r="K8" s="1">
        <f>IFERROR(__xludf.DUMMYFUNCTION("SUM(ARRAYFORMULA(IFERROR(VLOOKUP(VALUE(REGEXEXTRACT(D8:J8&amp;"""", ""\d+"")), 'Справка'!$A$1:$B$13, 2, FALSE), IFERROR(VLOOKUP(D8:J8, 'Справка'!$A$1:$B$13, 2, FALSE), 0)))) + SUM(ARRAYFORMULA(IF(ISERR(SEARCH(""П"", D8:J8)), 0, 'Справка'!$B$14))) + SUM(ARRAYF"&amp;"ORMULA(IF(ISERR(SEARCH(""К"", D8:J8)), 0, 'Справка'!$B$15)))"),0.0)</f>
        <v>0</v>
      </c>
    </row>
    <row r="11">
      <c r="C11" s="3"/>
      <c r="D11" s="3"/>
      <c r="E11" s="3"/>
    </row>
    <row r="12">
      <c r="C12" s="3"/>
      <c r="D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</sheetData>
  <autoFilter ref="$C$2:$K$8">
    <sortState ref="C2:K8">
      <sortCondition descending="1" ref="K2:K8"/>
    </sortState>
  </autoFilter>
  <conditionalFormatting sqref="D2">
    <cfRule type="notContainsBlanks" dxfId="0" priority="1">
      <formula>LEN(TRIM(D2))&gt;0</formula>
    </cfRule>
  </conditionalFormatting>
  <conditionalFormatting sqref="D3:J8">
    <cfRule type="expression" dxfId="1" priority="2">
      <formula>LEFT(D3,1)="1"</formula>
    </cfRule>
  </conditionalFormatting>
  <conditionalFormatting sqref="D3:J8">
    <cfRule type="expression" dxfId="2" priority="3">
      <formula>LEFT(D3,1)="2"</formula>
    </cfRule>
  </conditionalFormatting>
  <conditionalFormatting sqref="D3:J8">
    <cfRule type="expression" dxfId="3" priority="4">
      <formula>LEFT(D3,1)="3"</formula>
    </cfRule>
  </conditionalFormatting>
  <conditionalFormatting sqref="D3:J8">
    <cfRule type="expression" dxfId="4" priority="5">
      <formula>IFERROR(VALUE(REGEXEXTRACT(D3&amp;"", "\d+")), 0) &gt; 3</formula>
    </cfRule>
  </conditionalFormatting>
  <conditionalFormatting sqref="D3:J8">
    <cfRule type="containsText" dxfId="5" priority="6" operator="containsText" text="DNS">
      <formula>NOT(ISERROR(SEARCH(("DNS"),(D3))))</formula>
    </cfRule>
  </conditionalFormatting>
  <conditionalFormatting sqref="D3:J8">
    <cfRule type="containsText" dxfId="5" priority="7" operator="containsText" text="DSQ">
      <formula>NOT(ISERROR(SEARCH(("DSQ"),(D3))))</formula>
    </cfRule>
  </conditionalFormatting>
  <conditionalFormatting sqref="D3:J8">
    <cfRule type="containsText" dxfId="5" priority="8" operator="containsText" text="DNF">
      <formula>NOT(ISERROR(SEARCH(("DNF"),(D3))))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1.0</v>
      </c>
      <c r="B1" s="8">
        <v>25.0</v>
      </c>
    </row>
    <row r="2">
      <c r="A2" s="3">
        <v>2.0</v>
      </c>
      <c r="B2" s="8">
        <v>18.0</v>
      </c>
    </row>
    <row r="3">
      <c r="A3" s="3">
        <v>3.0</v>
      </c>
      <c r="B3" s="8">
        <v>15.0</v>
      </c>
    </row>
    <row r="4">
      <c r="A4" s="3">
        <v>4.0</v>
      </c>
      <c r="B4" s="8">
        <v>12.0</v>
      </c>
    </row>
    <row r="5">
      <c r="A5" s="3">
        <v>5.0</v>
      </c>
      <c r="B5" s="8">
        <v>10.0</v>
      </c>
    </row>
    <row r="6">
      <c r="A6" s="3">
        <v>6.0</v>
      </c>
      <c r="B6" s="8">
        <v>8.0</v>
      </c>
    </row>
    <row r="7">
      <c r="A7" s="3">
        <v>7.0</v>
      </c>
      <c r="B7" s="8">
        <v>6.0</v>
      </c>
    </row>
    <row r="8">
      <c r="A8" s="3">
        <v>8.0</v>
      </c>
      <c r="B8" s="8">
        <v>4.0</v>
      </c>
    </row>
    <row r="9">
      <c r="A9" s="3">
        <v>9.0</v>
      </c>
      <c r="B9" s="8">
        <v>2.0</v>
      </c>
    </row>
    <row r="10">
      <c r="A10" s="3">
        <v>10.0</v>
      </c>
      <c r="B10" s="8">
        <v>1.0</v>
      </c>
    </row>
    <row r="11">
      <c r="A11" s="3" t="s">
        <v>14</v>
      </c>
      <c r="B11" s="8">
        <v>0.0</v>
      </c>
    </row>
    <row r="12">
      <c r="A12" s="3" t="s">
        <v>13</v>
      </c>
      <c r="B12" s="8">
        <v>0.0</v>
      </c>
    </row>
    <row r="13">
      <c r="A13" s="3" t="s">
        <v>12</v>
      </c>
      <c r="B13" s="8">
        <v>0.0</v>
      </c>
    </row>
    <row r="14">
      <c r="A14" s="3" t="s">
        <v>15</v>
      </c>
      <c r="B14" s="3">
        <v>1.0</v>
      </c>
    </row>
    <row r="15">
      <c r="A15" s="3" t="s">
        <v>16</v>
      </c>
      <c r="B15" s="3">
        <v>1.0</v>
      </c>
    </row>
  </sheetData>
  <drawing r:id="rId1"/>
</worksheet>
</file>